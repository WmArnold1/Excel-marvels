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\\Kairos\C$\Https_WebDav\3-Equipment\"/>
    </mc:Choice>
  </mc:AlternateContent>
  <bookViews>
    <workbookView xWindow="0" yWindow="0" windowWidth="19200" windowHeight="8235" activeTab="2"/>
  </bookViews>
  <sheets>
    <sheet name="8 thru 15" sheetId="3" r:id="rId1"/>
    <sheet name="16 thru 23" sheetId="2" r:id="rId2"/>
    <sheet name="24 thru 30" sheetId="1" r:id="rId3"/>
  </sheets>
  <calcPr calcId="152511"/>
</workbook>
</file>

<file path=xl/calcChain.xml><?xml version="1.0" encoding="utf-8"?>
<calcChain xmlns="http://schemas.openxmlformats.org/spreadsheetml/2006/main">
  <c r="B8" i="2" l="1"/>
  <c r="C7" i="2"/>
  <c r="C7" i="3" l="1"/>
  <c r="C8" i="3" s="1"/>
  <c r="C4" i="3"/>
  <c r="B8" i="3"/>
  <c r="D7" i="3"/>
  <c r="C4" i="2" l="1"/>
  <c r="C8" i="2"/>
  <c r="D7" i="2"/>
  <c r="B8" i="1"/>
  <c r="D8" i="1"/>
  <c r="C4" i="1"/>
  <c r="C7" i="1"/>
  <c r="C10" i="1" s="1"/>
  <c r="C9" i="1" s="1"/>
  <c r="C8" i="1" l="1"/>
</calcChain>
</file>

<file path=xl/sharedStrings.xml><?xml version="1.0" encoding="utf-8"?>
<sst xmlns="http://schemas.openxmlformats.org/spreadsheetml/2006/main" count="31" uniqueCount="20">
  <si>
    <t>IPv4 CIDR</t>
  </si>
  <si>
    <t>Only change the two highlighted fields</t>
  </si>
  <si>
    <t>Quad-3</t>
  </si>
  <si>
    <t>Quad-4</t>
  </si>
  <si>
    <t>Fixed-min</t>
  </si>
  <si>
    <t>Fixed-max</t>
  </si>
  <si>
    <t>Fixed-use</t>
  </si>
  <si>
    <t>Quad-2</t>
  </si>
  <si>
    <t>- broadcast -</t>
  </si>
  <si>
    <t>- dhcp -</t>
  </si>
  <si>
    <t xml:space="preserve"> IP's avail</t>
  </si>
  <si>
    <t>Quad's 1 &amp; 2 are fixed/static, Quad-3 is Masked</t>
  </si>
  <si>
    <t>Quad-1 is 172, Quad-2 is 16 thru 31 (fixed/static)</t>
  </si>
  <si>
    <t>Quad's 1-3 are fixed/static, Quad-4 is Masked</t>
  </si>
  <si>
    <t>Quad's 1-2 are 192.168, Quad-3 is 0-255 (fixed/static)</t>
  </si>
  <si>
    <t>Quad-1 is 10, Quad-2 is 0-255 (Masked)</t>
  </si>
  <si>
    <t xml:space="preserve">  &lt;== Quad-2 Mask</t>
  </si>
  <si>
    <t xml:space="preserve">  &lt;== Quad-3 Mask</t>
  </si>
  <si>
    <t xml:space="preserve">  &lt;== Quad-4 Mask</t>
  </si>
  <si>
    <t xml:space="preserve"> IP Qty Avail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</si>
</sst>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right"/>
    </xf>
    <xf numFmtId="0" fontId="0" fillId="0" borderId="0" xfId="0" applyFill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Protection="1">
      <protection locked="0"/>
    </xf>
    <xf numFmtId="0" fontId="0" fillId="0" borderId="0" xfId="0" quotePrefix="1" applyAlignment="1">
      <alignment horizontal="left"/>
    </xf>
    <xf numFmtId="164" fontId="0" fillId="0" borderId="0" xfId="1" applyNumberFormat="1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5" xfId="0" quotePrefix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quotePrefix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0" xfId="0" applyFill="1" applyAlignment="1" applyProtection="1">
      <alignment horizontal="center"/>
      <protection locked="0"/>
    </xf>
    <xf numFmtId="0" fontId="0" fillId="0" borderId="0" xfId="0" quotePrefix="1" applyAlignment="1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5" xfId="0" applyFont="1" applyBorder="1" applyAlignment="1">
      <alignment horizontal="center"/>
    </xf>
    <xf numFmtId="164" fontId="0" fillId="0" borderId="1" xfId="1" applyNumberFormat="1" applyFont="1" applyBorder="1" applyAlignment="1">
      <alignment horizontal="right" vertical="center"/>
    </xf>
    <xf numFmtId="164" fontId="0" fillId="0" borderId="3" xfId="1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8"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0"/>
  <sheetViews>
    <sheetView workbookViewId="0">
      <selection activeCell="B4" sqref="B4"/>
    </sheetView>
  </sheetViews>
  <sheetFormatPr defaultRowHeight="15" x14ac:dyDescent="0.25"/>
  <cols>
    <col min="1" max="1" width="11.42578125" customWidth="1"/>
    <col min="2" max="3" width="7.7109375" customWidth="1"/>
    <col min="4" max="5" width="11.42578125" customWidth="1"/>
  </cols>
  <sheetData>
    <row r="2" spans="1:5" x14ac:dyDescent="0.25">
      <c r="A2" s="10" t="s">
        <v>1</v>
      </c>
      <c r="B2" s="10"/>
      <c r="C2" s="10"/>
      <c r="D2" s="10"/>
      <c r="E2" s="10"/>
    </row>
    <row r="3" spans="1:5" x14ac:dyDescent="0.25">
      <c r="A3" s="2"/>
      <c r="B3" s="2"/>
      <c r="C3" s="2"/>
      <c r="D3" s="2"/>
      <c r="E3" s="2"/>
    </row>
    <row r="4" spans="1:5" x14ac:dyDescent="0.25">
      <c r="A4" s="1" t="s">
        <v>0</v>
      </c>
      <c r="B4" s="15">
        <v>8</v>
      </c>
      <c r="C4" s="4">
        <f>256-2^(16-B$4)</f>
        <v>0</v>
      </c>
      <c r="D4" s="6" t="s">
        <v>16</v>
      </c>
      <c r="E4" s="6"/>
    </row>
    <row r="6" spans="1:5" x14ac:dyDescent="0.25">
      <c r="A6" s="1" t="s">
        <v>4</v>
      </c>
      <c r="B6" s="4">
        <v>0</v>
      </c>
      <c r="C6" s="19" t="s">
        <v>7</v>
      </c>
    </row>
    <row r="7" spans="1:5" x14ac:dyDescent="0.25">
      <c r="A7" s="1" t="s">
        <v>6</v>
      </c>
      <c r="B7" s="15">
        <v>0</v>
      </c>
      <c r="C7" s="4">
        <f>B7*2^(16-B$4)</f>
        <v>0</v>
      </c>
      <c r="D7" s="7">
        <f>2^(32-B$4)-2</f>
        <v>16777214</v>
      </c>
      <c r="E7" s="8" t="s">
        <v>19</v>
      </c>
    </row>
    <row r="8" spans="1:5" x14ac:dyDescent="0.25">
      <c r="A8" s="1" t="s">
        <v>5</v>
      </c>
      <c r="B8" s="4">
        <f>2^(B$4-8)-1</f>
        <v>0</v>
      </c>
      <c r="C8" s="4">
        <f>C7+2^(16-B$4)-1</f>
        <v>255</v>
      </c>
      <c r="D8" s="7"/>
      <c r="E8" s="8"/>
    </row>
    <row r="9" spans="1:5" x14ac:dyDescent="0.25">
      <c r="A9" s="1"/>
    </row>
    <row r="10" spans="1:5" x14ac:dyDescent="0.25">
      <c r="A10" s="9" t="s">
        <v>15</v>
      </c>
      <c r="B10" s="9"/>
      <c r="C10" s="9"/>
      <c r="D10" s="9"/>
      <c r="E10" s="9"/>
    </row>
  </sheetData>
  <sheetProtection sheet="1" objects="1" scenarios="1"/>
  <mergeCells count="5">
    <mergeCell ref="D4:E4"/>
    <mergeCell ref="D7:D8"/>
    <mergeCell ref="E7:E8"/>
    <mergeCell ref="A10:E10"/>
    <mergeCell ref="A2:E2"/>
  </mergeCells>
  <conditionalFormatting sqref="B4">
    <cfRule type="expression" dxfId="7" priority="2">
      <formula>IF(OR(B4&lt;8,B4&gt;15),1, 0 )</formula>
    </cfRule>
  </conditionalFormatting>
  <conditionalFormatting sqref="B7">
    <cfRule type="expression" dxfId="6" priority="1">
      <formula>IF(OR(B7&lt;B6,B7&gt;B8),1, 0 )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6"/>
  <sheetViews>
    <sheetView workbookViewId="0">
      <selection activeCell="B4" sqref="B4"/>
    </sheetView>
  </sheetViews>
  <sheetFormatPr defaultRowHeight="15" x14ac:dyDescent="0.25"/>
  <cols>
    <col min="1" max="1" width="11.42578125" customWidth="1"/>
    <col min="2" max="3" width="7.7109375" customWidth="1"/>
    <col min="4" max="5" width="11.42578125" customWidth="1"/>
  </cols>
  <sheetData>
    <row r="2" spans="1:5" x14ac:dyDescent="0.25">
      <c r="A2" s="10" t="s">
        <v>1</v>
      </c>
      <c r="B2" s="10"/>
      <c r="C2" s="10"/>
      <c r="D2" s="10"/>
      <c r="E2" s="10"/>
    </row>
    <row r="3" spans="1:5" x14ac:dyDescent="0.25">
      <c r="A3" s="2"/>
      <c r="B3" s="2"/>
      <c r="C3" s="2"/>
      <c r="D3" s="2"/>
      <c r="E3" s="2"/>
    </row>
    <row r="4" spans="1:5" x14ac:dyDescent="0.25">
      <c r="A4" s="1" t="s">
        <v>0</v>
      </c>
      <c r="B4" s="15">
        <v>16</v>
      </c>
      <c r="C4" s="4">
        <f>256-2^(24-B$4)</f>
        <v>0</v>
      </c>
      <c r="D4" s="16" t="s">
        <v>17</v>
      </c>
      <c r="E4" s="16"/>
    </row>
    <row r="6" spans="1:5" x14ac:dyDescent="0.25">
      <c r="A6" s="1" t="s">
        <v>4</v>
      </c>
      <c r="B6" s="4">
        <v>0</v>
      </c>
      <c r="C6" s="19" t="s">
        <v>2</v>
      </c>
    </row>
    <row r="7" spans="1:5" x14ac:dyDescent="0.25">
      <c r="A7" s="1" t="s">
        <v>6</v>
      </c>
      <c r="B7" s="15">
        <v>0</v>
      </c>
      <c r="C7" s="4">
        <f>B7*2^(24-B$4)</f>
        <v>0</v>
      </c>
      <c r="D7" s="7">
        <f>2^(32-B$4)-2</f>
        <v>65534</v>
      </c>
      <c r="E7" s="8" t="s">
        <v>19</v>
      </c>
    </row>
    <row r="8" spans="1:5" x14ac:dyDescent="0.25">
      <c r="A8" s="1" t="s">
        <v>5</v>
      </c>
      <c r="B8" s="4">
        <f>2^(B$4-16)-1</f>
        <v>0</v>
      </c>
      <c r="C8" s="4">
        <f>C7+2^(24-B$4)-1</f>
        <v>255</v>
      </c>
      <c r="D8" s="7"/>
      <c r="E8" s="8"/>
    </row>
    <row r="9" spans="1:5" x14ac:dyDescent="0.25">
      <c r="A9" s="1"/>
      <c r="E9" s="3"/>
    </row>
    <row r="10" spans="1:5" x14ac:dyDescent="0.25">
      <c r="A10" s="9" t="s">
        <v>11</v>
      </c>
      <c r="B10" s="9"/>
      <c r="C10" s="9"/>
      <c r="D10" s="9"/>
      <c r="E10" s="9"/>
    </row>
    <row r="11" spans="1:5" x14ac:dyDescent="0.25">
      <c r="A11" s="9" t="s">
        <v>12</v>
      </c>
      <c r="B11" s="9"/>
      <c r="C11" s="9"/>
      <c r="D11" s="9"/>
      <c r="E11" s="9"/>
    </row>
    <row r="16" spans="1:5" x14ac:dyDescent="0.25">
      <c r="E16" s="5"/>
    </row>
  </sheetData>
  <sheetProtection sheet="1" objects="1" scenarios="1"/>
  <mergeCells count="6">
    <mergeCell ref="A2:E2"/>
    <mergeCell ref="D7:D8"/>
    <mergeCell ref="E7:E8"/>
    <mergeCell ref="A10:E10"/>
    <mergeCell ref="D4:E4"/>
    <mergeCell ref="A11:E11"/>
  </mergeCells>
  <phoneticPr fontId="2" type="noConversion"/>
  <conditionalFormatting sqref="B4">
    <cfRule type="expression" dxfId="4" priority="2">
      <formula>IF(OR(B4&lt;16,B4&gt;23),1, 0 )</formula>
    </cfRule>
  </conditionalFormatting>
  <conditionalFormatting sqref="B7">
    <cfRule type="expression" dxfId="3" priority="1">
      <formula>IF(OR(B7&lt;B6,B7&gt;B8),1, 0 )</formula>
    </cfRule>
  </conditionalFormatting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3"/>
  <sheetViews>
    <sheetView tabSelected="1" workbookViewId="0">
      <selection activeCell="B4" sqref="B4"/>
    </sheetView>
  </sheetViews>
  <sheetFormatPr defaultRowHeight="15" x14ac:dyDescent="0.25"/>
  <cols>
    <col min="1" max="1" width="11.42578125" customWidth="1"/>
    <col min="2" max="3" width="7.7109375" customWidth="1"/>
    <col min="4" max="5" width="11.42578125" customWidth="1"/>
  </cols>
  <sheetData>
    <row r="2" spans="1:5" x14ac:dyDescent="0.25">
      <c r="A2" s="10" t="s">
        <v>1</v>
      </c>
      <c r="B2" s="10"/>
      <c r="C2" s="10"/>
      <c r="D2" s="10"/>
      <c r="E2" s="10"/>
    </row>
    <row r="4" spans="1:5" x14ac:dyDescent="0.25">
      <c r="A4" s="1" t="s">
        <v>0</v>
      </c>
      <c r="B4" s="15">
        <v>24</v>
      </c>
      <c r="C4" s="4">
        <f>256-2^(32-B$4)</f>
        <v>0</v>
      </c>
      <c r="D4" s="16" t="s">
        <v>18</v>
      </c>
      <c r="E4" s="16"/>
    </row>
    <row r="6" spans="1:5" x14ac:dyDescent="0.25">
      <c r="A6" s="1" t="s">
        <v>4</v>
      </c>
      <c r="B6" s="4">
        <v>0</v>
      </c>
      <c r="C6" s="19" t="s">
        <v>3</v>
      </c>
    </row>
    <row r="7" spans="1:5" x14ac:dyDescent="0.25">
      <c r="A7" s="1" t="s">
        <v>6</v>
      </c>
      <c r="B7" s="15">
        <v>0</v>
      </c>
      <c r="C7" s="4">
        <f>B7*2^(32-B$4)</f>
        <v>0</v>
      </c>
      <c r="D7" s="11" t="s">
        <v>9</v>
      </c>
      <c r="E7" s="12"/>
    </row>
    <row r="8" spans="1:5" x14ac:dyDescent="0.25">
      <c r="A8" s="1" t="s">
        <v>5</v>
      </c>
      <c r="B8" s="4">
        <f>2^(B$4-24)-1</f>
        <v>0</v>
      </c>
      <c r="C8" s="4">
        <f>C7+1</f>
        <v>1</v>
      </c>
      <c r="D8" s="20">
        <f>2^(32-B$4)-2</f>
        <v>254</v>
      </c>
      <c r="E8" s="17" t="s">
        <v>10</v>
      </c>
    </row>
    <row r="9" spans="1:5" x14ac:dyDescent="0.25">
      <c r="C9" s="4">
        <f>C10-1</f>
        <v>254</v>
      </c>
      <c r="D9" s="21"/>
      <c r="E9" s="18"/>
    </row>
    <row r="10" spans="1:5" x14ac:dyDescent="0.25">
      <c r="C10" s="4">
        <f>C7+2^(32-B$4)-1</f>
        <v>255</v>
      </c>
      <c r="D10" s="13" t="s">
        <v>8</v>
      </c>
      <c r="E10" s="14"/>
    </row>
    <row r="12" spans="1:5" x14ac:dyDescent="0.25">
      <c r="A12" s="9" t="s">
        <v>13</v>
      </c>
      <c r="B12" s="9"/>
      <c r="C12" s="9"/>
      <c r="D12" s="9"/>
      <c r="E12" s="9"/>
    </row>
    <row r="13" spans="1:5" x14ac:dyDescent="0.25">
      <c r="A13" s="9" t="s">
        <v>14</v>
      </c>
      <c r="B13" s="9"/>
      <c r="C13" s="9"/>
      <c r="D13" s="9"/>
      <c r="E13" s="9"/>
    </row>
  </sheetData>
  <sheetProtection sheet="1" objects="1" scenarios="1"/>
  <mergeCells count="8">
    <mergeCell ref="A13:E13"/>
    <mergeCell ref="A12:E12"/>
    <mergeCell ref="D8:D9"/>
    <mergeCell ref="E8:E9"/>
    <mergeCell ref="A2:E2"/>
    <mergeCell ref="D4:E4"/>
    <mergeCell ref="D7:E7"/>
    <mergeCell ref="D10:E10"/>
  </mergeCells>
  <phoneticPr fontId="2" type="noConversion"/>
  <conditionalFormatting sqref="B4">
    <cfRule type="expression" dxfId="1" priority="2">
      <formula>IF(OR(B4&lt;24,B4&gt;30),1, 0 )</formula>
    </cfRule>
  </conditionalFormatting>
  <conditionalFormatting sqref="B7">
    <cfRule type="expression" dxfId="0" priority="1">
      <formula>IF(OR(B7&lt;B6,B7&gt;B8),1, 0 )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 thru 15</vt:lpstr>
      <vt:lpstr>16 thru 23</vt:lpstr>
      <vt:lpstr>24 thru 30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</cp:lastModifiedBy>
  <dcterms:created xsi:type="dcterms:W3CDTF">2015-11-24T18:13:37Z</dcterms:created>
  <dcterms:modified xsi:type="dcterms:W3CDTF">2019-06-18T16:05:59Z</dcterms:modified>
</cp:coreProperties>
</file>