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Kairos\C$\Https_WebDav\3-Equipment\"/>
    </mc:Choice>
  </mc:AlternateContent>
  <bookViews>
    <workbookView xWindow="0" yWindow="0" windowWidth="19200" windowHeight="8235" activeTab="2"/>
  </bookViews>
  <sheets>
    <sheet name="8 thru 15" sheetId="3" r:id="rId1"/>
    <sheet name="16 thru 23" sheetId="2" r:id="rId2"/>
    <sheet name="24 thru 30" sheetId="1" r:id="rId3"/>
  </sheets>
  <calcPr calcId="152511"/>
</workbook>
</file>

<file path=xl/calcChain.xml><?xml version="1.0" encoding="utf-8"?>
<calcChain xmlns="http://schemas.openxmlformats.org/spreadsheetml/2006/main">
  <c r="C7" i="3" l="1"/>
  <c r="C8" i="3" s="1"/>
  <c r="C4" i="3"/>
  <c r="B8" i="3"/>
  <c r="D7" i="3"/>
  <c r="C4" i="2" l="1"/>
  <c r="C7" i="2"/>
  <c r="C8" i="2" s="1"/>
  <c r="B8" i="2"/>
  <c r="D7" i="2"/>
  <c r="B8" i="1"/>
  <c r="D8" i="1"/>
  <c r="C4" i="1"/>
  <c r="C7" i="1"/>
  <c r="C10" i="1" s="1"/>
  <c r="C9" i="1" s="1"/>
  <c r="C8" i="1" l="1"/>
</calcChain>
</file>

<file path=xl/sharedStrings.xml><?xml version="1.0" encoding="utf-8"?>
<sst xmlns="http://schemas.openxmlformats.org/spreadsheetml/2006/main" count="29" uniqueCount="16">
  <si>
    <t xml:space="preserve"> IP Qty</t>
  </si>
  <si>
    <t>IPv4 CIDR</t>
  </si>
  <si>
    <t>Only change the two highlighted fields</t>
  </si>
  <si>
    <t>Quad-3</t>
  </si>
  <si>
    <t>Quad-4</t>
  </si>
  <si>
    <t>Fixed-min</t>
  </si>
  <si>
    <t>Fixed-max</t>
  </si>
  <si>
    <t>Fixed-use</t>
  </si>
  <si>
    <t xml:space="preserve">  &lt;== Mask</t>
  </si>
  <si>
    <t>Quad's 1 thru 3 are fixed/static</t>
  </si>
  <si>
    <t>Quad's 1 &amp; 2 are 192.168, and Quad-4 is anything</t>
  </si>
  <si>
    <t>Quad-2</t>
  </si>
  <si>
    <t>Quad's 1 is 10, and Quad-3 &amp; 4 are anything</t>
  </si>
  <si>
    <t>- broadcast -</t>
  </si>
  <si>
    <t>- dhcp -</t>
  </si>
  <si>
    <t xml:space="preserve"> IP's 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</si>
</sst>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Protection="1">
      <protection locked="0"/>
    </xf>
    <xf numFmtId="0" fontId="0" fillId="2" borderId="0" xfId="0" applyFill="1" applyAlignment="1"/>
    <xf numFmtId="0" fontId="0" fillId="0" borderId="0" xfId="0" applyFill="1" applyAlignment="1"/>
    <xf numFmtId="0" fontId="0" fillId="0" borderId="5" xfId="0" applyBorder="1" applyAlignment="1">
      <alignment horizontal="right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B5" sqref="B5"/>
    </sheetView>
  </sheetViews>
  <sheetFormatPr defaultRowHeight="15" x14ac:dyDescent="0.25"/>
  <cols>
    <col min="4" max="4" width="11.28515625" customWidth="1"/>
  </cols>
  <sheetData>
    <row r="2" spans="1:5" x14ac:dyDescent="0.25">
      <c r="A2" s="3" t="s">
        <v>2</v>
      </c>
      <c r="B2" s="3"/>
      <c r="C2" s="3"/>
      <c r="D2" s="3"/>
      <c r="E2" s="3"/>
    </row>
    <row r="3" spans="1:5" x14ac:dyDescent="0.25">
      <c r="A3" s="4"/>
      <c r="B3" s="4"/>
      <c r="C3" s="4"/>
      <c r="D3" s="4"/>
      <c r="E3" s="4"/>
    </row>
    <row r="4" spans="1:5" x14ac:dyDescent="0.25">
      <c r="A4" s="1" t="s">
        <v>1</v>
      </c>
      <c r="B4" s="2">
        <v>12</v>
      </c>
      <c r="C4">
        <f>256-2^(16-B$4)</f>
        <v>240</v>
      </c>
      <c r="D4" s="8" t="s">
        <v>8</v>
      </c>
      <c r="E4" s="8"/>
    </row>
    <row r="6" spans="1:5" x14ac:dyDescent="0.25">
      <c r="A6" s="1" t="s">
        <v>5</v>
      </c>
      <c r="B6">
        <v>0</v>
      </c>
      <c r="C6" s="5" t="s">
        <v>11</v>
      </c>
    </row>
    <row r="7" spans="1:5" x14ac:dyDescent="0.25">
      <c r="A7" s="1" t="s">
        <v>7</v>
      </c>
      <c r="B7" s="2">
        <v>0</v>
      </c>
      <c r="C7">
        <f>B7*2^(16-B$4)</f>
        <v>0</v>
      </c>
      <c r="D7" s="9">
        <f>2^(32-B$4)-2</f>
        <v>1048574</v>
      </c>
      <c r="E7" s="10" t="s">
        <v>0</v>
      </c>
    </row>
    <row r="8" spans="1:5" x14ac:dyDescent="0.25">
      <c r="A8" s="1" t="s">
        <v>6</v>
      </c>
      <c r="B8">
        <f>2^(B$4-8)-1</f>
        <v>15</v>
      </c>
      <c r="C8">
        <f>C7+2^(16-B$4)-1</f>
        <v>15</v>
      </c>
      <c r="D8" s="9"/>
      <c r="E8" s="10"/>
    </row>
    <row r="9" spans="1:5" x14ac:dyDescent="0.25">
      <c r="A9" s="1"/>
    </row>
    <row r="10" spans="1:5" x14ac:dyDescent="0.25">
      <c r="A10" s="11" t="s">
        <v>12</v>
      </c>
      <c r="B10" s="11"/>
      <c r="C10" s="11"/>
      <c r="D10" s="11"/>
      <c r="E10" s="11"/>
    </row>
  </sheetData>
  <mergeCells count="4">
    <mergeCell ref="D4:E4"/>
    <mergeCell ref="D7:D8"/>
    <mergeCell ref="E7:E8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B8" sqref="B8"/>
    </sheetView>
  </sheetViews>
  <sheetFormatPr defaultRowHeight="15" x14ac:dyDescent="0.25"/>
  <cols>
    <col min="1" max="1" width="12.28515625" customWidth="1"/>
    <col min="4" max="4" width="9.140625" customWidth="1"/>
    <col min="5" max="5" width="10" customWidth="1"/>
  </cols>
  <sheetData>
    <row r="2" spans="1:5" x14ac:dyDescent="0.25">
      <c r="A2" s="3" t="s">
        <v>2</v>
      </c>
      <c r="B2" s="3"/>
      <c r="C2" s="3"/>
      <c r="D2" s="3"/>
      <c r="E2" s="3"/>
    </row>
    <row r="3" spans="1:5" x14ac:dyDescent="0.25">
      <c r="A3" s="4"/>
      <c r="B3" s="4"/>
      <c r="C3" s="4"/>
      <c r="D3" s="4"/>
      <c r="E3" s="4"/>
    </row>
    <row r="4" spans="1:5" x14ac:dyDescent="0.25">
      <c r="A4" s="1" t="s">
        <v>1</v>
      </c>
      <c r="B4" s="2">
        <v>23</v>
      </c>
      <c r="C4">
        <f>256-2^(24-B$4)</f>
        <v>254</v>
      </c>
      <c r="D4" s="8" t="s">
        <v>8</v>
      </c>
      <c r="E4" s="8"/>
    </row>
    <row r="6" spans="1:5" x14ac:dyDescent="0.25">
      <c r="A6" s="1" t="s">
        <v>5</v>
      </c>
      <c r="B6">
        <v>0</v>
      </c>
      <c r="C6" s="7" t="s">
        <v>3</v>
      </c>
    </row>
    <row r="7" spans="1:5" x14ac:dyDescent="0.25">
      <c r="A7" s="1" t="s">
        <v>7</v>
      </c>
      <c r="B7" s="2">
        <v>0</v>
      </c>
      <c r="C7">
        <f>B7*2^(24-B$4)</f>
        <v>0</v>
      </c>
      <c r="D7" s="9">
        <f>2^(32-B$4)-2</f>
        <v>510</v>
      </c>
      <c r="E7" s="12" t="s">
        <v>15</v>
      </c>
    </row>
    <row r="8" spans="1:5" x14ac:dyDescent="0.25">
      <c r="A8" s="1" t="s">
        <v>6</v>
      </c>
      <c r="B8">
        <f>2^(B$4-16)-1</f>
        <v>127</v>
      </c>
      <c r="C8">
        <f>C7+2^(24-B$4)-1</f>
        <v>1</v>
      </c>
      <c r="D8" s="9"/>
      <c r="E8" s="12"/>
    </row>
    <row r="9" spans="1:5" x14ac:dyDescent="0.25">
      <c r="A9" s="1"/>
      <c r="E9" s="6"/>
    </row>
    <row r="10" spans="1:5" x14ac:dyDescent="0.25">
      <c r="A10" s="11" t="s">
        <v>10</v>
      </c>
      <c r="B10" s="11"/>
      <c r="C10" s="11"/>
      <c r="D10" s="11"/>
      <c r="E10" s="11"/>
    </row>
  </sheetData>
  <mergeCells count="4">
    <mergeCell ref="D7:D8"/>
    <mergeCell ref="E7:E8"/>
    <mergeCell ref="A10:E10"/>
    <mergeCell ref="D4:E4"/>
  </mergeCells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B8" sqref="B8"/>
    </sheetView>
  </sheetViews>
  <sheetFormatPr defaultRowHeight="15" x14ac:dyDescent="0.25"/>
  <cols>
    <col min="1" max="1" width="13" customWidth="1"/>
    <col min="2" max="2" width="5.42578125" customWidth="1"/>
    <col min="3" max="3" width="8.5703125" customWidth="1"/>
    <col min="4" max="4" width="6.140625" customWidth="1"/>
    <col min="5" max="5" width="10.28515625" customWidth="1"/>
  </cols>
  <sheetData>
    <row r="2" spans="1:5" x14ac:dyDescent="0.25">
      <c r="A2" s="17" t="s">
        <v>2</v>
      </c>
      <c r="B2" s="17"/>
      <c r="C2" s="17"/>
      <c r="D2" s="17"/>
      <c r="E2" s="17"/>
    </row>
    <row r="4" spans="1:5" x14ac:dyDescent="0.25">
      <c r="A4" s="1" t="s">
        <v>1</v>
      </c>
      <c r="B4" s="2">
        <v>29</v>
      </c>
      <c r="C4">
        <f>256-2^(32-B$4)</f>
        <v>248</v>
      </c>
      <c r="D4" s="8" t="s">
        <v>8</v>
      </c>
      <c r="E4" s="8"/>
    </row>
    <row r="6" spans="1:5" x14ac:dyDescent="0.25">
      <c r="A6" s="1" t="s">
        <v>5</v>
      </c>
      <c r="B6">
        <v>0</v>
      </c>
      <c r="C6" s="5" t="s">
        <v>4</v>
      </c>
    </row>
    <row r="7" spans="1:5" x14ac:dyDescent="0.25">
      <c r="A7" s="1" t="s">
        <v>7</v>
      </c>
      <c r="B7" s="2">
        <v>2</v>
      </c>
      <c r="C7">
        <f>B7*2^(32-B$4)</f>
        <v>16</v>
      </c>
      <c r="D7" s="18" t="s">
        <v>14</v>
      </c>
      <c r="E7" s="19"/>
    </row>
    <row r="8" spans="1:5" x14ac:dyDescent="0.25">
      <c r="A8" s="1" t="s">
        <v>6</v>
      </c>
      <c r="B8">
        <f>2^(B$4-24)-1</f>
        <v>31</v>
      </c>
      <c r="C8">
        <f>C7+1</f>
        <v>17</v>
      </c>
      <c r="D8" s="13">
        <f>2^(32-B$4)-2</f>
        <v>6</v>
      </c>
      <c r="E8" s="15" t="s">
        <v>15</v>
      </c>
    </row>
    <row r="9" spans="1:5" x14ac:dyDescent="0.25">
      <c r="C9">
        <f>C10-1</f>
        <v>22</v>
      </c>
      <c r="D9" s="14"/>
      <c r="E9" s="16"/>
    </row>
    <row r="10" spans="1:5" x14ac:dyDescent="0.25">
      <c r="C10">
        <f>C7+2^(32-B$4)-1</f>
        <v>23</v>
      </c>
      <c r="D10" s="20" t="s">
        <v>13</v>
      </c>
      <c r="E10" s="21"/>
    </row>
    <row r="12" spans="1:5" x14ac:dyDescent="0.25">
      <c r="A12" s="11" t="s">
        <v>9</v>
      </c>
      <c r="B12" s="11"/>
      <c r="C12" s="11"/>
      <c r="D12" s="11"/>
      <c r="E12" s="11"/>
    </row>
  </sheetData>
  <sheetProtection sheet="1" objects="1" scenarios="1"/>
  <mergeCells count="7">
    <mergeCell ref="A12:E12"/>
    <mergeCell ref="D8:D9"/>
    <mergeCell ref="E8:E9"/>
    <mergeCell ref="A2:E2"/>
    <mergeCell ref="D4:E4"/>
    <mergeCell ref="D7:E7"/>
    <mergeCell ref="D10:E1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 thru 15</vt:lpstr>
      <vt:lpstr>16 thru 23</vt:lpstr>
      <vt:lpstr>24 thru 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2015-11-24T18:13:37Z</dcterms:created>
  <dcterms:modified xsi:type="dcterms:W3CDTF">2018-07-29T02:29:22Z</dcterms:modified>
</cp:coreProperties>
</file>